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ay" sheetId="1" r:id="rId1"/>
  </sheets>
  <definedNames>
    <definedName name="_xlnm.Print_Area" localSheetId="0">May!$A$1:$P$29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56" formatCode="&quot;上午/下午 &quot;hh&quot;時&quot;mm&quot;分&quot;ss&quot;秒 &quot;"/>
    <numFmt numFmtId="164" formatCode="_(&quot;$&quot;* #,##0.00_);_(&quot;$&quot;* \(#,##0.00\);_(&quot;$&quot;* &quot;-&quot;??_);_(@_)"/>
    <numFmt numFmtId="165" formatCode="&quot;$&quot;#,##0"/>
    <numFmt numFmtId="168" formatCode="&quot;₹&quot;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878"/>
  <sheetViews>
    <sheetView workbookViewId="0" rightToLeft="0"/>
  </sheetViews>
  <sheetData>
    <row r="1">
      <c r="A1" t="str">
        <v>Summary</v>
      </c>
      <c r="B1" t="str">
        <v>Week One</v>
      </c>
      <c r="E1" t="str">
        <v>Week Two</v>
      </c>
      <c r="H1" t="str">
        <v>Week Three</v>
      </c>
      <c r="K1" t="str">
        <v>Week Four</v>
      </c>
      <c r="N1" t="str">
        <v>Month's End</v>
      </c>
    </row>
    <row r="2">
      <c r="B2" t="str">
        <v>Budget</v>
      </c>
      <c r="C2" t="str">
        <v>Actual</v>
      </c>
      <c r="D2" t="str">
        <v>Variance</v>
      </c>
      <c r="E2" t="str">
        <v>Budget</v>
      </c>
      <c r="F2" t="str">
        <v>Actual</v>
      </c>
      <c r="G2" t="str">
        <v>Variance</v>
      </c>
      <c r="H2" t="str">
        <v>Budget</v>
      </c>
      <c r="I2" t="str">
        <v>Actual</v>
      </c>
      <c r="J2" t="str">
        <v>Variance</v>
      </c>
      <c r="K2" t="str">
        <v>Budget</v>
      </c>
      <c r="L2" t="str">
        <v>Actual</v>
      </c>
      <c r="M2" t="str">
        <v>Variance</v>
      </c>
      <c r="N2" t="str">
        <v>BUDGET</v>
      </c>
      <c r="O2" t="str">
        <v>ACTUAL</v>
      </c>
      <c r="P2" t="str">
        <v>Variance</v>
      </c>
    </row>
    <row r="3">
      <c r="A3" t="str">
        <v>Total Income</v>
      </c>
      <c r="B3">
        <f>B12:P12</f>
        <v>17500</v>
      </c>
      <c r="C3">
        <f>C12:Q12</f>
        <v>0</v>
      </c>
      <c r="D3">
        <f>C3-B3</f>
        <v>-17500</v>
      </c>
      <c r="E3">
        <f>E12:Q12</f>
        <v>17500</v>
      </c>
      <c r="F3">
        <f>F12:Q12</f>
        <v>0</v>
      </c>
      <c r="G3">
        <f>F3-E3</f>
        <v>-17500</v>
      </c>
      <c r="H3">
        <f>H12:Q12</f>
        <v>17500</v>
      </c>
      <c r="I3">
        <f>I12:Q12</f>
        <v>0</v>
      </c>
      <c r="J3">
        <f>I3-H3</f>
        <v>-17500</v>
      </c>
      <c r="K3">
        <f>K12:Q12</f>
        <v>17500</v>
      </c>
      <c r="L3">
        <f>L12:Q12</f>
        <v>0</v>
      </c>
      <c r="M3">
        <f>L3-K3</f>
        <v>-17500</v>
      </c>
      <c r="N3">
        <f>SUM(B3,E3,H3,K3)</f>
        <v>70000</v>
      </c>
      <c r="O3">
        <f>SUM(C3,F3,I3,L3)</f>
        <v>0</v>
      </c>
      <c r="P3">
        <f>O3-N3</f>
        <v>-70000</v>
      </c>
    </row>
    <row r="4">
      <c r="A4" t="str">
        <v>Total Expenses</v>
      </c>
      <c r="B4">
        <f>B45</f>
        <v>0</v>
      </c>
      <c r="C4">
        <f>C45</f>
        <v>0</v>
      </c>
      <c r="D4">
        <f>D45</f>
        <v>0</v>
      </c>
      <c r="E4">
        <f>E45</f>
        <v>0</v>
      </c>
      <c r="F4">
        <f>F45</f>
        <v>0</v>
      </c>
      <c r="G4">
        <f>G45</f>
        <v>0</v>
      </c>
      <c r="H4">
        <f>H45</f>
        <v>0</v>
      </c>
      <c r="I4">
        <f>I45</f>
        <v>0</v>
      </c>
      <c r="J4">
        <f>J45</f>
        <v>0</v>
      </c>
      <c r="K4">
        <f>K45</f>
        <v>0</v>
      </c>
      <c r="L4">
        <f>L45</f>
        <v>0</v>
      </c>
      <c r="M4">
        <f>M45</f>
        <v>0</v>
      </c>
      <c r="N4">
        <f>SUM(B4,E4,H4,K4)</f>
        <v>0</v>
      </c>
      <c r="O4">
        <f>SUM(C4,F4,I4,L4)</f>
        <v>0</v>
      </c>
      <c r="P4">
        <f>O4-N4</f>
        <v>0</v>
      </c>
    </row>
    <row r="5">
      <c r="A5" t="str">
        <v>Net Income</v>
      </c>
      <c r="B5">
        <f>B3-B4</f>
        <v>17500</v>
      </c>
      <c r="C5">
        <f>C3-C4</f>
        <v>0</v>
      </c>
      <c r="D5">
        <f>C5-B5</f>
        <v>-17500</v>
      </c>
      <c r="E5">
        <f>E3-E4</f>
        <v>17500</v>
      </c>
      <c r="F5">
        <f>F3-F4</f>
        <v>0</v>
      </c>
      <c r="G5">
        <f>F5-E5</f>
        <v>-17500</v>
      </c>
      <c r="H5">
        <f>H3-H4</f>
        <v>17500</v>
      </c>
      <c r="I5">
        <f>I3-I4</f>
        <v>0</v>
      </c>
      <c r="J5">
        <f>I5-H5</f>
        <v>-17500</v>
      </c>
      <c r="K5">
        <f>K3-K4</f>
        <v>17500</v>
      </c>
      <c r="L5">
        <f>L3-L4</f>
        <v>0</v>
      </c>
      <c r="M5">
        <f>L5-K5</f>
        <v>-17500</v>
      </c>
      <c r="N5">
        <f>N3-N4</f>
        <v>70000</v>
      </c>
      <c r="O5">
        <f>O3-O4</f>
        <v>0</v>
      </c>
      <c r="P5">
        <f>O5-N5</f>
        <v>-70000</v>
      </c>
    </row>
    <row r="7">
      <c r="A7" t="str">
        <v>May</v>
      </c>
      <c r="B7" t="str">
        <v>Week One</v>
      </c>
      <c r="E7" t="str">
        <v>Week Two</v>
      </c>
      <c r="H7" t="str">
        <v>Week Three</v>
      </c>
      <c r="K7" t="str">
        <v>Week Four</v>
      </c>
      <c r="N7" t="str">
        <v>Month's End</v>
      </c>
    </row>
    <row r="8">
      <c r="A8" t="str">
        <v>Income</v>
      </c>
      <c r="B8" t="str">
        <v>Budget</v>
      </c>
      <c r="C8" t="str">
        <v>Actual</v>
      </c>
      <c r="D8" t="str">
        <v>Variance</v>
      </c>
      <c r="E8" t="str">
        <v>Budget</v>
      </c>
      <c r="F8" t="str">
        <v>Actual</v>
      </c>
      <c r="G8" t="str">
        <v>Variance</v>
      </c>
      <c r="H8" t="str">
        <v>Budget</v>
      </c>
      <c r="I8" t="str">
        <v>Actual</v>
      </c>
      <c r="J8" t="str">
        <v>Variance</v>
      </c>
      <c r="K8" t="str">
        <v>Budget</v>
      </c>
      <c r="L8" t="str">
        <v>Actual</v>
      </c>
      <c r="M8" t="str">
        <v>Variance</v>
      </c>
      <c r="N8" t="str">
        <v>Budget</v>
      </c>
      <c r="O8" t="str">
        <v>Actual</v>
      </c>
      <c r="P8" t="str">
        <v>Variance</v>
      </c>
    </row>
    <row r="9">
      <c r="A9" t="str">
        <v>Salary</v>
      </c>
      <c r="B9">
        <v>17500</v>
      </c>
      <c r="D9">
        <f>C9-B9</f>
        <v>-17500</v>
      </c>
      <c r="E9">
        <v>17500</v>
      </c>
      <c r="G9">
        <f>F9-E9</f>
        <v>-17500</v>
      </c>
      <c r="H9">
        <v>17500</v>
      </c>
      <c r="J9">
        <f>I9-H9</f>
        <v>-17500</v>
      </c>
      <c r="K9">
        <v>17500</v>
      </c>
      <c r="M9">
        <f>L9-K9</f>
        <v>-17500</v>
      </c>
      <c r="N9">
        <v>70000</v>
      </c>
      <c r="O9">
        <v>0</v>
      </c>
      <c r="P9">
        <f>O9-N9</f>
        <v>-70000</v>
      </c>
    </row>
    <row r="10">
      <c r="A10" t="str">
        <v>Investments</v>
      </c>
      <c r="B10">
        <v>0</v>
      </c>
      <c r="D10">
        <f>C10-B10</f>
        <v>0</v>
      </c>
      <c r="G10">
        <f>F10-E10</f>
        <v>0</v>
      </c>
      <c r="J10">
        <f>I10-H10</f>
        <v>0</v>
      </c>
      <c r="M10">
        <f>L10-K10</f>
        <v>0</v>
      </c>
      <c r="N10">
        <v>0</v>
      </c>
      <c r="O10">
        <v>0</v>
      </c>
      <c r="P10">
        <f>O10-N10</f>
        <v>0</v>
      </c>
    </row>
    <row r="11">
      <c r="A11" t="str">
        <v>Other Income</v>
      </c>
      <c r="D11">
        <f>C11-B11</f>
        <v>0</v>
      </c>
      <c r="G11">
        <f>F11-E11</f>
        <v>0</v>
      </c>
      <c r="J11">
        <f>I11-H11</f>
        <v>0</v>
      </c>
      <c r="M11">
        <f>L11-K11</f>
        <v>0</v>
      </c>
      <c r="N11">
        <v>0</v>
      </c>
      <c r="O11">
        <v>0</v>
      </c>
      <c r="P11">
        <f>O11-N11</f>
        <v>0</v>
      </c>
    </row>
    <row r="12">
      <c r="A12" t="str">
        <v>Total Income</v>
      </c>
      <c r="B12">
        <f>SUM(B9:B11)</f>
        <v>17500</v>
      </c>
      <c r="C12">
        <f>SUM(C9:C11)</f>
        <v>0</v>
      </c>
      <c r="D12">
        <f>C12-B12</f>
        <v>-17500</v>
      </c>
      <c r="E12">
        <f>SUM(E9:E11)</f>
        <v>17500</v>
      </c>
      <c r="F12">
        <f>SUM(F9:F11)</f>
        <v>0</v>
      </c>
      <c r="G12">
        <f>F12-E12</f>
        <v>-17500</v>
      </c>
      <c r="H12">
        <f>SUM(H9:H11)</f>
        <v>17500</v>
      </c>
      <c r="I12">
        <f>SUM(I9:I11)</f>
        <v>0</v>
      </c>
      <c r="J12">
        <f>I12-H12</f>
        <v>-17500</v>
      </c>
      <c r="K12">
        <f>SUM(K9:K11)</f>
        <v>17500</v>
      </c>
      <c r="L12">
        <f>SUM(L9:L11)</f>
        <v>0</v>
      </c>
      <c r="M12">
        <f>L12-K12</f>
        <v>-17500</v>
      </c>
      <c r="N12">
        <f>SUM(B12,E12,H12,K12)</f>
        <v>70000</v>
      </c>
      <c r="O12">
        <f>SUM(C12,F12,I12,L12)</f>
        <v>0</v>
      </c>
      <c r="P12">
        <f>O12-N12</f>
        <v>-70000</v>
      </c>
    </row>
    <row r="13">
      <c r="A13" t="str">
        <v>Expenses</v>
      </c>
      <c r="B13" t="str">
        <v>Budget</v>
      </c>
      <c r="C13" t="str">
        <v>Actual</v>
      </c>
      <c r="D13" t="str">
        <v>Variance</v>
      </c>
      <c r="E13" t="str">
        <v>Budget</v>
      </c>
      <c r="F13" t="str">
        <v>Actual</v>
      </c>
      <c r="G13" t="str">
        <v>Variance</v>
      </c>
      <c r="H13" t="str">
        <v>Budget</v>
      </c>
      <c r="I13" t="str">
        <v>Actual</v>
      </c>
      <c r="J13" t="str">
        <v>Variance</v>
      </c>
      <c r="K13" t="str">
        <v>Budget</v>
      </c>
      <c r="L13" t="str">
        <v>Actual</v>
      </c>
      <c r="M13" t="str">
        <v>Variance</v>
      </c>
      <c r="N13" t="str">
        <v>Budget</v>
      </c>
      <c r="O13" t="str">
        <v>Actual</v>
      </c>
      <c r="P13" t="str">
        <v>Variance</v>
      </c>
    </row>
    <row r="14">
      <c r="A14" t="str">
        <v>Household Expenses</v>
      </c>
    </row>
    <row r="15">
      <c r="A15" t="str">
        <v>Rent</v>
      </c>
      <c r="D15">
        <f>C15-B15</f>
        <v>0</v>
      </c>
      <c r="G15">
        <f>F15-E15</f>
        <v>0</v>
      </c>
      <c r="J15">
        <f>I15-H15</f>
        <v>0</v>
      </c>
      <c r="M15">
        <f>L15-K15</f>
        <v>0</v>
      </c>
      <c r="N15">
        <v>0</v>
      </c>
      <c r="O15">
        <v>0</v>
      </c>
      <c r="P15">
        <f>O15-N15</f>
        <v>0</v>
      </c>
    </row>
    <row r="16">
      <c r="A16" t="str">
        <v>Insurance</v>
      </c>
      <c r="D16">
        <f>C16-B16</f>
        <v>0</v>
      </c>
      <c r="G16">
        <f>F16-E16</f>
        <v>0</v>
      </c>
      <c r="J16">
        <f>I16-H16</f>
        <v>0</v>
      </c>
      <c r="M16">
        <f>L16-K16</f>
        <v>0</v>
      </c>
      <c r="N16">
        <v>0</v>
      </c>
      <c r="O16">
        <v>0</v>
      </c>
      <c r="P16">
        <f>O16-N16</f>
        <v>0</v>
      </c>
    </row>
    <row r="17">
      <c r="A17" t="str">
        <v>Electricity</v>
      </c>
      <c r="D17">
        <f>C17-B17</f>
        <v>0</v>
      </c>
      <c r="G17">
        <f>F17-E17</f>
        <v>0</v>
      </c>
      <c r="J17">
        <f>I17-H17</f>
        <v>0</v>
      </c>
      <c r="M17">
        <f>L17-K17</f>
        <v>0</v>
      </c>
      <c r="N17">
        <v>0</v>
      </c>
      <c r="O17">
        <v>0</v>
      </c>
      <c r="P17">
        <f>O17-N17</f>
        <v>0</v>
      </c>
    </row>
    <row r="18">
      <c r="A18" t="str">
        <v>Lift</v>
      </c>
      <c r="D18">
        <f>C18-B18</f>
        <v>0</v>
      </c>
      <c r="G18">
        <f>F18-E18</f>
        <v>0</v>
      </c>
      <c r="J18">
        <f>I18-H18</f>
        <v>0</v>
      </c>
      <c r="M18">
        <f>L18-K18</f>
        <v>0</v>
      </c>
      <c r="N18">
        <v>0</v>
      </c>
      <c r="O18">
        <v>0</v>
      </c>
    </row>
    <row r="19">
      <c r="A19" t="str">
        <v>Water</v>
      </c>
      <c r="D19">
        <f>C19-B19</f>
        <v>0</v>
      </c>
      <c r="G19">
        <f>F19-E19</f>
        <v>0</v>
      </c>
      <c r="J19">
        <f>I19-H19</f>
        <v>0</v>
      </c>
      <c r="M19">
        <f>L19-K19</f>
        <v>0</v>
      </c>
      <c r="N19">
        <v>0</v>
      </c>
      <c r="O19">
        <v>0</v>
      </c>
      <c r="P19">
        <f>O19-N19</f>
        <v>0</v>
      </c>
    </row>
    <row r="20">
      <c r="A20" t="str">
        <v>Furnishings</v>
      </c>
      <c r="D20">
        <f>C20-B20</f>
        <v>0</v>
      </c>
      <c r="G20">
        <f>F20-E20</f>
        <v>0</v>
      </c>
      <c r="J20">
        <f>I20-H20</f>
        <v>0</v>
      </c>
      <c r="M20">
        <f>L20-K20</f>
        <v>0</v>
      </c>
      <c r="N20">
        <v>0</v>
      </c>
      <c r="O20">
        <v>0</v>
      </c>
      <c r="P20">
        <f>O20-N20</f>
        <v>0</v>
      </c>
    </row>
    <row r="21">
      <c r="A21" t="str">
        <v>Maid</v>
      </c>
      <c r="D21">
        <f>C21-B21</f>
        <v>0</v>
      </c>
      <c r="G21">
        <f>F21-E21</f>
        <v>0</v>
      </c>
      <c r="J21">
        <f>I21-H21</f>
        <v>0</v>
      </c>
      <c r="M21">
        <f>L21-K21</f>
        <v>0</v>
      </c>
      <c r="N21">
        <v>0</v>
      </c>
      <c r="O21">
        <v>0</v>
      </c>
      <c r="P21">
        <f>O21-N21</f>
        <v>0</v>
      </c>
    </row>
    <row r="22">
      <c r="A22" t="str">
        <v>Other</v>
      </c>
      <c r="D22">
        <f>C22-B22</f>
        <v>0</v>
      </c>
      <c r="G22">
        <f>F22-E22</f>
        <v>0</v>
      </c>
      <c r="J22">
        <f>I22-H22</f>
        <v>0</v>
      </c>
      <c r="M22">
        <f>L22-K22</f>
        <v>0</v>
      </c>
      <c r="N22">
        <v>0</v>
      </c>
      <c r="O22">
        <v>0</v>
      </c>
      <c r="P22">
        <f>O22-N22</f>
        <v>0</v>
      </c>
    </row>
    <row r="23">
      <c r="A23" t="str">
        <v>Total</v>
      </c>
      <c r="B23">
        <f>SUM(B15:B22)</f>
        <v>0</v>
      </c>
      <c r="C23">
        <f>SUM(C15:C22)</f>
        <v>0</v>
      </c>
      <c r="D23">
        <f>C23-B23</f>
        <v>0</v>
      </c>
      <c r="E23">
        <f>SUM(E15:E22)</f>
        <v>0</v>
      </c>
      <c r="F23">
        <f>SUM(F15:F22)</f>
        <v>0</v>
      </c>
      <c r="G23">
        <f>F23-E23</f>
        <v>0</v>
      </c>
      <c r="H23">
        <f>SUM(H15:H22)</f>
        <v>0</v>
      </c>
      <c r="I23">
        <f>SUM(I15:I22)</f>
        <v>0</v>
      </c>
      <c r="J23">
        <f>I23-H23</f>
        <v>0</v>
      </c>
      <c r="K23">
        <f>SUM(K15:K22)</f>
        <v>0</v>
      </c>
      <c r="L23">
        <f>SUM(L15:L22)</f>
        <v>0</v>
      </c>
      <c r="M23">
        <f>L23-K23</f>
        <v>0</v>
      </c>
      <c r="N23">
        <f>SUM(N15:N22)</f>
        <v>0</v>
      </c>
      <c r="O23">
        <f>SUM(O15:O22)</f>
        <v>0</v>
      </c>
      <c r="P23">
        <f>O23-N23</f>
        <v>0</v>
      </c>
    </row>
    <row r="24">
      <c r="A24" t="str">
        <v>Transportation</v>
      </c>
    </row>
    <row r="25">
      <c r="A25" t="str">
        <v>Parking</v>
      </c>
      <c r="D25">
        <f>C25-B25</f>
        <v>0</v>
      </c>
      <c r="G25">
        <f>F25-E25</f>
        <v>0</v>
      </c>
      <c r="J25">
        <f>I25-H25</f>
        <v>0</v>
      </c>
      <c r="M25">
        <f>L25-K25</f>
        <v>0</v>
      </c>
      <c r="N25">
        <v>0</v>
      </c>
      <c r="O25">
        <v>0</v>
      </c>
      <c r="P25">
        <f>O25-N25</f>
        <v>0</v>
      </c>
    </row>
    <row r="26">
      <c r="A26" t="str">
        <v>Fuel</v>
      </c>
      <c r="D26">
        <f>C26-B26</f>
        <v>0</v>
      </c>
      <c r="G26">
        <f>F26-E26</f>
        <v>0</v>
      </c>
      <c r="J26">
        <f>I26-H26</f>
        <v>0</v>
      </c>
      <c r="M26">
        <f>L26-K26</f>
        <v>0</v>
      </c>
      <c r="N26">
        <v>0</v>
      </c>
      <c r="O26">
        <v>0</v>
      </c>
      <c r="P26">
        <f>O26-N26</f>
        <v>0</v>
      </c>
    </row>
    <row r="27">
      <c r="A27" t="str">
        <v>Service</v>
      </c>
      <c r="D27">
        <f>C27-B27</f>
        <v>0</v>
      </c>
      <c r="G27">
        <f>F27-E27</f>
        <v>0</v>
      </c>
      <c r="J27">
        <f>I27-H27</f>
        <v>0</v>
      </c>
      <c r="M27">
        <f>L27-K27</f>
        <v>0</v>
      </c>
      <c r="N27">
        <v>0</v>
      </c>
      <c r="O27">
        <v>0</v>
      </c>
      <c r="P27">
        <f>O27-N27</f>
        <v>0</v>
      </c>
    </row>
    <row r="28">
      <c r="A28" t="str">
        <v>Public Transportation</v>
      </c>
      <c r="D28">
        <f>C28-B28</f>
        <v>0</v>
      </c>
      <c r="G28">
        <f>F28-E28</f>
        <v>0</v>
      </c>
      <c r="J28">
        <f>I28-H28</f>
        <v>0</v>
      </c>
      <c r="M28">
        <f>L28-K28</f>
        <v>0</v>
      </c>
      <c r="N28">
        <v>0</v>
      </c>
      <c r="O28">
        <v>0</v>
      </c>
      <c r="P28">
        <f>O28-N28</f>
        <v>0</v>
      </c>
    </row>
    <row r="29">
      <c r="A29" t="str">
        <v>Registration / License</v>
      </c>
      <c r="D29">
        <f>C29-B29</f>
        <v>0</v>
      </c>
      <c r="G29">
        <f>F29-E29</f>
        <v>0</v>
      </c>
      <c r="J29">
        <f>I29-H29</f>
        <v>0</v>
      </c>
      <c r="M29">
        <f>L29-K29</f>
        <v>0</v>
      </c>
      <c r="N29">
        <v>0</v>
      </c>
      <c r="O29">
        <v>0</v>
      </c>
      <c r="P29">
        <f>O29-N29</f>
        <v>0</v>
      </c>
    </row>
    <row r="30">
      <c r="A30" t="str">
        <v>Total</v>
      </c>
      <c r="B30">
        <f>SUM(B25:B29)</f>
        <v>0</v>
      </c>
      <c r="C30">
        <f>SUM(C25:C29)</f>
        <v>0</v>
      </c>
      <c r="D30">
        <f>C30-B30</f>
        <v>0</v>
      </c>
      <c r="E30">
        <f>SUM(E25:E29)</f>
        <v>0</v>
      </c>
      <c r="F30">
        <f>SUM(F25:F29)</f>
        <v>0</v>
      </c>
      <c r="G30">
        <f>F30-E30</f>
        <v>0</v>
      </c>
      <c r="H30">
        <f>SUM(H25:H29)</f>
        <v>0</v>
      </c>
      <c r="I30">
        <f>SUM(I25:I29)</f>
        <v>0</v>
      </c>
      <c r="J30">
        <f>I30-H30</f>
        <v>0</v>
      </c>
      <c r="K30">
        <f>SUM(K25:K29)</f>
        <v>0</v>
      </c>
      <c r="L30">
        <f>SUM(L25:L29)</f>
        <v>0</v>
      </c>
      <c r="M30">
        <f>L30-K30</f>
        <v>0</v>
      </c>
      <c r="N30">
        <f>SUM(N25:N29)</f>
        <v>0</v>
      </c>
      <c r="O30">
        <f>SUM(O25:O29)</f>
        <v>0</v>
      </c>
      <c r="P30">
        <f>O30-N30</f>
        <v>0</v>
      </c>
    </row>
    <row r="31">
      <c r="A31" t="str">
        <v>Daily Living</v>
      </c>
    </row>
    <row r="32">
      <c r="A32" t="str">
        <v>Milk</v>
      </c>
      <c r="D32">
        <f>C32-B32</f>
        <v>0</v>
      </c>
      <c r="G32">
        <f>F32-E32</f>
        <v>0</v>
      </c>
      <c r="J32">
        <f>I32-H32</f>
        <v>0</v>
      </c>
      <c r="M32">
        <f>L32-K32</f>
        <v>0</v>
      </c>
      <c r="N32">
        <v>0</v>
      </c>
      <c r="O32">
        <v>0</v>
      </c>
      <c r="P32">
        <f>O32-N32</f>
        <v>0</v>
      </c>
    </row>
    <row r="33">
      <c r="A33" t="str">
        <v>Groceries</v>
      </c>
      <c r="D33">
        <f>C33-B33</f>
        <v>0</v>
      </c>
      <c r="G33">
        <f>F33-E33</f>
        <v>0</v>
      </c>
      <c r="J33">
        <f>I33-H33</f>
        <v>0</v>
      </c>
      <c r="M33">
        <f>L33-K33</f>
        <v>0</v>
      </c>
      <c r="N33">
        <v>0</v>
      </c>
      <c r="O33">
        <v>0</v>
      </c>
      <c r="P33">
        <f>O33-N33</f>
        <v>0</v>
      </c>
    </row>
    <row r="34">
      <c r="A34" t="str">
        <v>Medicine</v>
      </c>
      <c r="D34">
        <f>C34-B34</f>
        <v>0</v>
      </c>
      <c r="G34">
        <f>F34-E34</f>
        <v>0</v>
      </c>
      <c r="J34">
        <f>I34-H34</f>
        <v>0</v>
      </c>
      <c r="M34">
        <f>L34-K34</f>
        <v>0</v>
      </c>
      <c r="N34">
        <v>0</v>
      </c>
      <c r="O34">
        <v>0</v>
      </c>
      <c r="P34">
        <f>O34-N34</f>
        <v>0</v>
      </c>
    </row>
    <row r="35">
      <c r="A35" t="str">
        <v>Clothing</v>
      </c>
      <c r="D35">
        <f>C35-B35</f>
        <v>0</v>
      </c>
      <c r="G35">
        <f>F35-E35</f>
        <v>0</v>
      </c>
      <c r="J35">
        <f>I35-H35</f>
        <v>0</v>
      </c>
      <c r="M35">
        <f>L35-K35</f>
        <v>0</v>
      </c>
      <c r="N35">
        <v>0</v>
      </c>
      <c r="O35">
        <v>0</v>
      </c>
      <c r="P35">
        <f>O35-N35</f>
        <v>0</v>
      </c>
    </row>
    <row r="36">
      <c r="A36" t="str">
        <v>Cleaning</v>
      </c>
      <c r="D36">
        <f>C36-B36</f>
        <v>0</v>
      </c>
      <c r="G36">
        <f>F36-E36</f>
        <v>0</v>
      </c>
      <c r="J36">
        <f>I36-H36</f>
        <v>0</v>
      </c>
      <c r="M36">
        <f>L36-K36</f>
        <v>0</v>
      </c>
      <c r="N36">
        <v>0</v>
      </c>
      <c r="O36">
        <v>0</v>
      </c>
      <c r="P36">
        <f>O36-N36</f>
        <v>0</v>
      </c>
    </row>
    <row r="37">
      <c r="A37" t="str">
        <v>Vegetables/Fruits</v>
      </c>
      <c r="D37">
        <f>C37-B37</f>
        <v>0</v>
      </c>
      <c r="G37">
        <f>F37-E37</f>
        <v>0</v>
      </c>
      <c r="J37">
        <f>I37-H37</f>
        <v>0</v>
      </c>
      <c r="M37">
        <f>L37-K37</f>
        <v>0</v>
      </c>
      <c r="N37">
        <v>0</v>
      </c>
      <c r="O37">
        <v>0</v>
      </c>
      <c r="P37">
        <f>O37-N37</f>
        <v>0</v>
      </c>
    </row>
    <row r="38">
      <c r="A38" t="str">
        <v>Total</v>
      </c>
      <c r="B38">
        <f>SUM(B32:B37)</f>
        <v>0</v>
      </c>
      <c r="C38">
        <f>SUM(C32:C37)</f>
        <v>0</v>
      </c>
      <c r="D38">
        <f>C38-B38</f>
        <v>0</v>
      </c>
      <c r="E38">
        <f>SUM(E32:E37)</f>
        <v>0</v>
      </c>
      <c r="F38">
        <f>SUM(F32:F37)</f>
        <v>0</v>
      </c>
      <c r="G38">
        <f>F38-E38</f>
        <v>0</v>
      </c>
      <c r="H38">
        <f>SUM(H32:H37)</f>
        <v>0</v>
      </c>
      <c r="I38">
        <f>SUM(I32:I37)</f>
        <v>0</v>
      </c>
      <c r="J38">
        <f>I38-H38</f>
        <v>0</v>
      </c>
      <c r="K38">
        <f>SUM(K32:K37)</f>
        <v>0</v>
      </c>
      <c r="L38">
        <f>SUM(L32:L37)</f>
        <v>0</v>
      </c>
      <c r="M38">
        <f>L38-K38</f>
        <v>0</v>
      </c>
      <c r="N38">
        <f>SUM(N32:N37)</f>
        <v>0</v>
      </c>
      <c r="O38">
        <f>SUM(O32:O37)</f>
        <v>0</v>
      </c>
      <c r="P38">
        <f>O38-N38</f>
        <v>0</v>
      </c>
    </row>
    <row r="39">
      <c r="A39" t="str">
        <v>Entertainment</v>
      </c>
    </row>
    <row r="40">
      <c r="A40" t="str">
        <v>Wifi Bill</v>
      </c>
      <c r="D40">
        <f>C40-B40</f>
        <v>0</v>
      </c>
      <c r="G40">
        <f>F40-E40</f>
        <v>0</v>
      </c>
      <c r="J40">
        <f>I40-H40</f>
        <v>0</v>
      </c>
      <c r="M40">
        <f>L40-K40</f>
        <v>0</v>
      </c>
      <c r="N40">
        <v>0</v>
      </c>
      <c r="O40">
        <v>0</v>
      </c>
      <c r="P40">
        <f>O40-N40</f>
        <v>0</v>
      </c>
    </row>
    <row r="41">
      <c r="A41" t="str">
        <v>Phone Bill</v>
      </c>
      <c r="N41">
        <v>0</v>
      </c>
      <c r="O41">
        <v>0</v>
      </c>
    </row>
    <row r="42">
      <c r="A42" t="str">
        <v>Dine-In</v>
      </c>
      <c r="D42">
        <f>C42-B42</f>
        <v>0</v>
      </c>
      <c r="G42">
        <f>F42-E42</f>
        <v>0</v>
      </c>
      <c r="J42">
        <f>I42-H42</f>
        <v>0</v>
      </c>
      <c r="M42">
        <f>L42-K42</f>
        <v>0</v>
      </c>
      <c r="N42">
        <v>0</v>
      </c>
      <c r="O42">
        <v>0</v>
      </c>
      <c r="P42">
        <f>O42-N42</f>
        <v>0</v>
      </c>
    </row>
    <row r="43">
      <c r="A43" t="str">
        <v>Take Away</v>
      </c>
      <c r="D43">
        <f>C43-B43</f>
        <v>0</v>
      </c>
      <c r="G43">
        <f>F43-E43</f>
        <v>0</v>
      </c>
      <c r="J43">
        <f>I43-H43</f>
        <v>0</v>
      </c>
      <c r="M43">
        <f>L43-K43</f>
        <v>0</v>
      </c>
      <c r="N43">
        <v>0</v>
      </c>
      <c r="O43">
        <v>0</v>
      </c>
      <c r="P43">
        <f>O43-N43</f>
        <v>0</v>
      </c>
    </row>
    <row r="44">
      <c r="A44" t="str">
        <v>Total</v>
      </c>
      <c r="B44">
        <f>SUM(B40:B43)</f>
        <v>0</v>
      </c>
      <c r="C44">
        <f>SUM(C40:C43)</f>
        <v>0</v>
      </c>
      <c r="D44">
        <f>C44-B44</f>
        <v>0</v>
      </c>
      <c r="E44">
        <f>SUM(E40:E43)</f>
        <v>0</v>
      </c>
      <c r="F44">
        <f>SUM(F40:F43)</f>
        <v>0</v>
      </c>
      <c r="G44">
        <f>F44-E44</f>
        <v>0</v>
      </c>
      <c r="H44">
        <f>SUM(H40:H43)</f>
        <v>0</v>
      </c>
      <c r="I44">
        <f>SUM(I40:I43)</f>
        <v>0</v>
      </c>
      <c r="J44">
        <f>I44-H44</f>
        <v>0</v>
      </c>
      <c r="K44">
        <f>SUM(K40:K43)</f>
        <v>0</v>
      </c>
      <c r="L44">
        <f>SUM(L40:L43)</f>
        <v>0</v>
      </c>
      <c r="M44">
        <f>L44-K44</f>
        <v>0</v>
      </c>
      <c r="N44">
        <f>SUM(N40:N43)</f>
        <v>0</v>
      </c>
      <c r="O44">
        <f>SUM(O40:O43)</f>
        <v>0</v>
      </c>
      <c r="P44">
        <f>O44-N44</f>
        <v>0</v>
      </c>
    </row>
    <row r="45">
      <c r="A45" t="str">
        <v>Total Expenses</v>
      </c>
      <c r="B45">
        <f>SUM(B23,B30,B38,B44)</f>
        <v>0</v>
      </c>
      <c r="C45">
        <f>SUM(C23,C30,C38,C44)</f>
        <v>0</v>
      </c>
      <c r="D45">
        <f>C45-B45</f>
        <v>0</v>
      </c>
      <c r="E45">
        <f>SUM(E23,E30,E38,E44)</f>
        <v>0</v>
      </c>
      <c r="F45">
        <f>SUM(F23,F30,F38,F44)</f>
        <v>0</v>
      </c>
      <c r="G45">
        <f>F45-E45</f>
        <v>0</v>
      </c>
      <c r="H45">
        <f>SUM(H23,H30,H38,H44)</f>
        <v>0</v>
      </c>
      <c r="I45">
        <f>SUM(I23,I30,I38,I44)</f>
        <v>0</v>
      </c>
      <c r="J45">
        <f>I45-H45</f>
        <v>0</v>
      </c>
      <c r="K45">
        <f>SUM(K23,K30,K38,K44)</f>
        <v>0</v>
      </c>
      <c r="L45">
        <f>SUM(L23,L30,L38,L44)</f>
        <v>0</v>
      </c>
      <c r="M45">
        <f>L45-K45</f>
        <v>0</v>
      </c>
      <c r="N45">
        <f>SUM(N23,N30,N38,N44)</f>
        <v>0</v>
      </c>
      <c r="O45">
        <f>SUM(O23,O30,O38,O44)</f>
        <v>0</v>
      </c>
      <c r="P45">
        <f>O45-N45</f>
        <v>0</v>
      </c>
    </row>
  </sheetData>
  <mergeCells count="10">
    <mergeCell ref="N7:P7"/>
    <mergeCell ref="N1:P1"/>
    <mergeCell ref="B1:D1"/>
    <mergeCell ref="B7:D7"/>
    <mergeCell ref="E1:G1"/>
    <mergeCell ref="H1:J1"/>
    <mergeCell ref="K1:M1"/>
    <mergeCell ref="E7:G7"/>
    <mergeCell ref="H7:J7"/>
    <mergeCell ref="K7:M7"/>
  </mergeCells>
  <pageMargins left="0.3" right="0.3" top="0.3" bottom="0.3" header="0" footer="0"/>
  <ignoredErrors>
    <ignoredError numberStoredAsText="1" sqref="A1:Q87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2022-04-13T04:43:30Z</dcterms:created>
  <dcterms:modified xsi:type="dcterms:W3CDTF">2026-04-19T14:44:37Z</dcterms:modified>
  <cp:lastModifiedBy>Jaskiran Sekhon (jsekhon)</cp:lastModifiedBy>
  <cp:lastPrinted>2025-07-28T01:32:27Z</cp:lastPrinted>
  <dc:creator>Bess</dc:creator>
</cp:coreProperties>
</file>